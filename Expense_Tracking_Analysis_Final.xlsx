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F4C854E7-767B-BA4A-BB71-FC0A8BDFFB5A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Expenses " sheetId="1" r:id="rId1"/>
    <sheet name="Monthly_Budget" sheetId="2" r:id="rId2"/>
    <sheet name="Analysis " sheetId="3" r:id="rId3"/>
  </sheets>
  <definedNames>
    <definedName name="_xlnm._FilterDatabase" localSheetId="2" hidden="1">'Analysis '!$A$1:$B$3</definedName>
    <definedName name="_xlnm._FilterDatabase" localSheetId="0" hidden="1">'Expenses '!$A$1:$H$11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31" i="3" l="1"/>
  <c r="Q32" i="3"/>
  <c r="Q6" i="3"/>
  <c r="Q5" i="3"/>
  <c r="M22" i="3"/>
  <c r="M21" i="3"/>
  <c r="M19" i="3"/>
  <c r="M14" i="3"/>
  <c r="M17" i="3"/>
  <c r="M16" i="3"/>
  <c r="M15" i="3"/>
  <c r="M12" i="3"/>
  <c r="F11" i="3"/>
  <c r="F18" i="3"/>
  <c r="F17" i="3"/>
  <c r="F16" i="3"/>
  <c r="F14" i="3"/>
  <c r="F15" i="3"/>
  <c r="F10" i="3"/>
  <c r="F9" i="3"/>
  <c r="F8" i="3"/>
  <c r="D5" i="3"/>
  <c r="D10" i="3"/>
  <c r="D15" i="3"/>
  <c r="D16" i="3"/>
  <c r="D17" i="3"/>
  <c r="B24" i="3"/>
  <c r="B23" i="3"/>
  <c r="B22" i="3"/>
  <c r="B21" i="3"/>
  <c r="B20" i="3"/>
  <c r="B19" i="3"/>
  <c r="B18" i="3"/>
  <c r="B17" i="3"/>
  <c r="B16" i="3"/>
  <c r="O2" i="1"/>
  <c r="O3" i="1"/>
  <c r="O4" i="1"/>
  <c r="O5" i="1"/>
  <c r="O6" i="1"/>
  <c r="O7" i="1"/>
  <c r="O8" i="1"/>
  <c r="O9" i="1"/>
  <c r="O10" i="1"/>
  <c r="O11" i="1"/>
  <c r="N2" i="1"/>
  <c r="N3" i="1"/>
  <c r="N4" i="1"/>
  <c r="N5" i="1"/>
  <c r="N6" i="1"/>
  <c r="N7" i="1"/>
  <c r="N8" i="1"/>
  <c r="N9" i="1"/>
  <c r="N10" i="1"/>
  <c r="N11" i="1"/>
  <c r="M2" i="1"/>
  <c r="M3" i="1"/>
  <c r="M4" i="1"/>
  <c r="M5" i="1"/>
  <c r="M6" i="1"/>
  <c r="M7" i="1"/>
  <c r="M8" i="1"/>
  <c r="M9" i="1"/>
  <c r="M10" i="1"/>
  <c r="M11" i="1"/>
  <c r="L2" i="1"/>
  <c r="L3" i="1"/>
  <c r="L4" i="1"/>
  <c r="L5" i="1"/>
  <c r="L6" i="1"/>
  <c r="L7" i="1"/>
  <c r="L8" i="1"/>
  <c r="L9" i="1"/>
  <c r="L10" i="1"/>
  <c r="L11" i="1"/>
  <c r="K2" i="1"/>
  <c r="K3" i="1"/>
  <c r="K4" i="1"/>
  <c r="K5" i="1"/>
  <c r="K6" i="1"/>
  <c r="K7" i="1"/>
  <c r="K8" i="1"/>
  <c r="K9" i="1"/>
  <c r="K10" i="1"/>
  <c r="K11" i="1"/>
  <c r="J2" i="1"/>
  <c r="J3" i="1"/>
  <c r="J4" i="1"/>
  <c r="J5" i="1"/>
  <c r="J6" i="1"/>
  <c r="J7" i="1"/>
  <c r="J8" i="1"/>
  <c r="J9" i="1"/>
  <c r="J10" i="1"/>
  <c r="J11" i="1"/>
  <c r="B15" i="3"/>
  <c r="I2" i="1"/>
  <c r="I3" i="1"/>
  <c r="I4" i="1"/>
  <c r="I5" i="1"/>
  <c r="I6" i="1"/>
  <c r="I7" i="1"/>
  <c r="I8" i="1"/>
  <c r="I9" i="1"/>
  <c r="I10" i="1"/>
  <c r="I11" i="1"/>
  <c r="B14" i="3"/>
  <c r="B13" i="3"/>
  <c r="B12" i="3"/>
  <c r="B11" i="3"/>
  <c r="B10" i="3"/>
  <c r="B9" i="3"/>
  <c r="B8" i="3"/>
  <c r="B7" i="3"/>
  <c r="B6" i="3"/>
  <c r="B5" i="3"/>
  <c r="B3" i="3"/>
  <c r="B2" i="3"/>
</calcChain>
</file>

<file path=xl/sharedStrings.xml><?xml version="1.0" encoding="utf-8"?>
<sst xmlns="http://schemas.openxmlformats.org/spreadsheetml/2006/main" count="121" uniqueCount="77">
  <si>
    <t>expense_id</t>
  </si>
  <si>
    <t>expense_date</t>
  </si>
  <si>
    <t>amount</t>
  </si>
  <si>
    <t>category</t>
  </si>
  <si>
    <t>description</t>
  </si>
  <si>
    <t>payment_method</t>
  </si>
  <si>
    <t>necessary</t>
  </si>
  <si>
    <t>location</t>
  </si>
  <si>
    <t>Food</t>
  </si>
  <si>
    <t>Breakfast</t>
  </si>
  <si>
    <t>Cash</t>
  </si>
  <si>
    <t>Yes</t>
  </si>
  <si>
    <t>Home</t>
  </si>
  <si>
    <t>Transport</t>
  </si>
  <si>
    <t>Bus</t>
  </si>
  <si>
    <t>City</t>
  </si>
  <si>
    <t>Shopping</t>
  </si>
  <si>
    <t>T-shirt</t>
  </si>
  <si>
    <t>UPI</t>
  </si>
  <si>
    <t>No</t>
  </si>
  <si>
    <t>Mall</t>
  </si>
  <si>
    <t>Lunch</t>
  </si>
  <si>
    <t>College</t>
  </si>
  <si>
    <t>Auto</t>
  </si>
  <si>
    <t>Entertainment</t>
  </si>
  <si>
    <t>Movie</t>
  </si>
  <si>
    <t>Theatre</t>
  </si>
  <si>
    <t>Dinner</t>
  </si>
  <si>
    <t>Restaurant</t>
  </si>
  <si>
    <t>Education</t>
  </si>
  <si>
    <t>Books</t>
  </si>
  <si>
    <t>Bookstore</t>
  </si>
  <si>
    <t>Snacks</t>
  </si>
  <si>
    <t>budget_id</t>
  </si>
  <si>
    <t>month</t>
  </si>
  <si>
    <t>planned_amount</t>
  </si>
  <si>
    <t xml:space="preserve">Total spending </t>
  </si>
  <si>
    <t>Total Transactions</t>
  </si>
  <si>
    <t>Average Expenses</t>
  </si>
  <si>
    <t>Text</t>
  </si>
  <si>
    <t>Expense_Type</t>
  </si>
  <si>
    <t xml:space="preserve">High_Necessary </t>
  </si>
  <si>
    <t>Description_Length.</t>
  </si>
  <si>
    <t>First_Letter</t>
  </si>
  <si>
    <t>Last_Letter</t>
  </si>
  <si>
    <t>Expense_Label</t>
  </si>
  <si>
    <t>Expense_Month</t>
  </si>
  <si>
    <t xml:space="preserve">category </t>
  </si>
  <si>
    <t>food</t>
  </si>
  <si>
    <t xml:space="preserve">transport </t>
  </si>
  <si>
    <t xml:space="preserve">education </t>
  </si>
  <si>
    <t xml:space="preserve">shopping </t>
  </si>
  <si>
    <t>Budget</t>
  </si>
  <si>
    <t>entertainment</t>
  </si>
  <si>
    <t>Expense_id</t>
  </si>
  <si>
    <t>Category</t>
  </si>
  <si>
    <t xml:space="preserve">Amount </t>
  </si>
  <si>
    <t>meals</t>
  </si>
  <si>
    <t xml:space="preserve">" Food       "   </t>
  </si>
  <si>
    <t>Food-</t>
  </si>
  <si>
    <t xml:space="preserve">Transactions </t>
  </si>
  <si>
    <t>AverageExpense</t>
  </si>
  <si>
    <t>Highest Expense</t>
  </si>
  <si>
    <t>Lowest Expenses</t>
  </si>
  <si>
    <t xml:space="preserve">Transport </t>
  </si>
  <si>
    <t xml:space="preserve">Shopping </t>
  </si>
  <si>
    <t xml:space="preserve">Entertainment </t>
  </si>
  <si>
    <t xml:space="preserve">Education </t>
  </si>
  <si>
    <t xml:space="preserve">Necessary </t>
  </si>
  <si>
    <t xml:space="preserve">Unnecessary </t>
  </si>
  <si>
    <t xml:space="preserve">Daily Spending </t>
  </si>
  <si>
    <t xml:space="preserve">Category </t>
  </si>
  <si>
    <t>Actual</t>
  </si>
  <si>
    <t xml:space="preserve">Remaining </t>
  </si>
  <si>
    <t xml:space="preserve">EXPENSE TYPE </t>
  </si>
  <si>
    <t xml:space="preserve">TOTAL SPENDING </t>
  </si>
  <si>
    <t>Chart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</si>
</sst>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₹-44A]#,##0.00"/>
    <numFmt numFmtId="165" formatCode="[$₹-44A]#,##0.00;[$₹-44A]\-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ill="1"/>
    <xf numFmtId="0" fontId="0" fillId="0" borderId="0" xfId="0" applyNumberFormat="1"/>
    <xf numFmtId="43" fontId="1" fillId="0" borderId="0" xfId="0" applyNumberFormat="1" applyFont="1"/>
    <xf numFmtId="43" fontId="0" fillId="0" borderId="0" xfId="0" applyNumberFormat="1"/>
    <xf numFmtId="0" fontId="1" fillId="0" borderId="0" xfId="0" applyFont="1" applyAlignment="1">
      <alignment wrapText="1"/>
    </xf>
    <xf numFmtId="0" fontId="0" fillId="0" borderId="1" xfId="0" applyFont="1" applyBorder="1"/>
    <xf numFmtId="0" fontId="0" fillId="0" borderId="0" xfId="0" applyAlignment="1">
      <alignment horizontal="center" vertical="center"/>
    </xf>
    <xf numFmtId="0" fontId="0" fillId="0" borderId="3" xfId="0" applyBorder="1"/>
    <xf numFmtId="17" fontId="0" fillId="0" borderId="3" xfId="0" applyNumberFormat="1" applyBorder="1"/>
    <xf numFmtId="14" fontId="0" fillId="0" borderId="3" xfId="0" applyNumberFormat="1" applyBorder="1"/>
    <xf numFmtId="0" fontId="0" fillId="0" borderId="3" xfId="0" applyNumberFormat="1" applyBorder="1"/>
    <xf numFmtId="0" fontId="1" fillId="0" borderId="3" xfId="0" applyFont="1" applyBorder="1"/>
    <xf numFmtId="0" fontId="0" fillId="0" borderId="3" xfId="0" applyFont="1" applyBorder="1"/>
    <xf numFmtId="164" fontId="0" fillId="0" borderId="3" xfId="0" applyNumberFormat="1" applyBorder="1"/>
    <xf numFmtId="16" fontId="0" fillId="0" borderId="3" xfId="0" applyNumberFormat="1" applyBorder="1"/>
    <xf numFmtId="0" fontId="1" fillId="0" borderId="4" xfId="0" applyFont="1" applyBorder="1"/>
    <xf numFmtId="164" fontId="0" fillId="0" borderId="4" xfId="0" applyNumberFormat="1" applyBorder="1"/>
    <xf numFmtId="164" fontId="0" fillId="0" borderId="3" xfId="0" applyNumberFormat="1" applyFont="1" applyBorder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1" fillId="0" borderId="0" xfId="0" quotePrefix="1" applyNumberFormat="1" applyFont="1"/>
    <xf numFmtId="165" fontId="1" fillId="0" borderId="0" xfId="0" applyNumberFormat="1" applyFont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17" fontId="0" fillId="0" borderId="10" xfId="0" applyNumberFormat="1" applyBorder="1"/>
    <xf numFmtId="164" fontId="0" fillId="0" borderId="10" xfId="0" applyNumberFormat="1" applyBorder="1"/>
    <xf numFmtId="0" fontId="0" fillId="0" borderId="11" xfId="0" applyBorder="1"/>
  </cellXfs>
  <cellStyles count="1">
    <cellStyle name="Normal" xfId="0" builtinId="0"/>
  </cellStyles>
  <dxfs count="33">
    <dxf>
      <border diagonalUp="0" diagonalDown="0">
        <left style="thin">
          <color rgb="FF505050"/>
        </left>
        <right/>
        <top style="thin">
          <color rgb="FF505050"/>
        </top>
        <bottom style="thin">
          <color rgb="FF505050"/>
        </bottom>
        <vertical/>
        <horizontal/>
      </border>
    </dxf>
    <dxf>
      <numFmt numFmtId="164" formatCode="[$₹-44A]#,##0.00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numFmt numFmtId="22" formatCode="mmm\-yy"/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/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outline="0">
        <top style="thin">
          <color rgb="FF505050"/>
        </top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border outline="0">
        <bottom style="thin">
          <color rgb="FF50505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  <dxf>
      <border>
        <left style="thin">
          <color rgb="FF505050"/>
        </left>
        <right style="thin">
          <color rgb="FF505050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numFmt numFmtId="19" formatCode="dd/mm/yyyy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0" formatCode="General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0" formatCode="General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0" formatCode="General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0" formatCode="General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0" formatCode="General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0" formatCode="General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19" formatCode="dd/mm/yyyy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numFmt numFmtId="164" formatCode="[$₹-44A]#,##0.00"/>
    </dxf>
    <dxf>
      <numFmt numFmtId="164" formatCode="[$₹-44A]#,##0.00"/>
    </dxf>
    <dxf>
      <numFmt numFmtId="164" formatCode="[$₹-44A]#,##0.00"/>
    </dxf>
    <dxf>
      <numFmt numFmtId="164" formatCode="[$₹-44A]#,##0.0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'!$Q$4</c:f>
              <c:strCache>
                <c:ptCount val="1"/>
                <c:pt idx="0">
                  <c:v>Total spending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'!$P$5:$P$9</c:f>
              <c:strCache>
                <c:ptCount val="5"/>
                <c:pt idx="0">
                  <c:v>Food</c:v>
                </c:pt>
                <c:pt idx="1">
                  <c:v>Transport </c:v>
                </c:pt>
                <c:pt idx="2">
                  <c:v>Shopping </c:v>
                </c:pt>
                <c:pt idx="3">
                  <c:v>Entertainment </c:v>
                </c:pt>
                <c:pt idx="4">
                  <c:v>Education </c:v>
                </c:pt>
              </c:strCache>
            </c:strRef>
          </c:cat>
          <c:val>
            <c:numRef>
              <c:f>'Analysis '!$Q$5:$Q$9</c:f>
              <c:numCache>
                <c:formatCode>[$₹-44A]#,##0.00</c:formatCode>
                <c:ptCount val="5"/>
                <c:pt idx="0">
                  <c:v>360</c:v>
                </c:pt>
                <c:pt idx="1">
                  <c:v>120</c:v>
                </c:pt>
                <c:pt idx="2">
                  <c:v>250</c:v>
                </c:pt>
                <c:pt idx="3">
                  <c:v>500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4-454F-9BB7-BE6BE9145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642943"/>
        <c:axId val="1070644735"/>
      </c:barChart>
      <c:catAx>
        <c:axId val="107064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44735"/>
        <c:crosses val="autoZero"/>
        <c:auto val="1"/>
        <c:lblAlgn val="ctr"/>
        <c:lblOffset val="100"/>
        <c:noMultiLvlLbl val="0"/>
      </c:catAx>
      <c:valAx>
        <c:axId val="10706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4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Necessary vs Unnecessary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'!$Q$30</c:f>
              <c:strCache>
                <c:ptCount val="1"/>
                <c:pt idx="0">
                  <c:v>TOTAL SPENDING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'!$P$31:$P$32</c:f>
              <c:strCache>
                <c:ptCount val="2"/>
                <c:pt idx="0">
                  <c:v>Necessary </c:v>
                </c:pt>
                <c:pt idx="1">
                  <c:v>Unnecessary </c:v>
                </c:pt>
              </c:strCache>
            </c:strRef>
          </c:cat>
          <c:val>
            <c:numRef>
              <c:f>'Analysis '!$Q$31:$Q$32</c:f>
              <c:numCache>
                <c:formatCode>[$₹-44A]#,##0.00</c:formatCode>
                <c:ptCount val="2"/>
                <c:pt idx="0">
                  <c:v>580</c:v>
                </c:pt>
                <c:pt idx="1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9-8B49-9944-10CFD1C46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423487"/>
        <c:axId val="567425279"/>
      </c:barChart>
      <c:catAx>
        <c:axId val="56742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425279"/>
        <c:crosses val="autoZero"/>
        <c:auto val="1"/>
        <c:lblAlgn val="ctr"/>
        <c:lblOffset val="100"/>
        <c:noMultiLvlLbl val="0"/>
      </c:catAx>
      <c:valAx>
        <c:axId val="5674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42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Budget vs Actual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'!$T$4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'!$S$5:$S$9</c:f>
              <c:strCache>
                <c:ptCount val="5"/>
                <c:pt idx="0">
                  <c:v>Food</c:v>
                </c:pt>
                <c:pt idx="1">
                  <c:v>Transport </c:v>
                </c:pt>
                <c:pt idx="2">
                  <c:v>Education</c:v>
                </c:pt>
                <c:pt idx="3">
                  <c:v>Shopping </c:v>
                </c:pt>
                <c:pt idx="4">
                  <c:v>Entertainment </c:v>
                </c:pt>
              </c:strCache>
            </c:strRef>
          </c:cat>
          <c:val>
            <c:numRef>
              <c:f>'Analysis '!$T$5:$T$9</c:f>
              <c:numCache>
                <c:formatCode>[$₹-44A]#,##0.00</c:formatCode>
                <c:ptCount val="5"/>
                <c:pt idx="0">
                  <c:v>5000</c:v>
                </c:pt>
                <c:pt idx="1">
                  <c:v>2000</c:v>
                </c:pt>
                <c:pt idx="2">
                  <c:v>3000</c:v>
                </c:pt>
                <c:pt idx="3">
                  <c:v>2000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B-B14E-BFDE-83B6D769CF38}"/>
            </c:ext>
          </c:extLst>
        </c:ser>
        <c:ser>
          <c:idx val="1"/>
          <c:order val="1"/>
          <c:tx>
            <c:strRef>
              <c:f>'Analysis '!$U$4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'!$S$5:$S$9</c:f>
              <c:strCache>
                <c:ptCount val="5"/>
                <c:pt idx="0">
                  <c:v>Food</c:v>
                </c:pt>
                <c:pt idx="1">
                  <c:v>Transport </c:v>
                </c:pt>
                <c:pt idx="2">
                  <c:v>Education</c:v>
                </c:pt>
                <c:pt idx="3">
                  <c:v>Shopping </c:v>
                </c:pt>
                <c:pt idx="4">
                  <c:v>Entertainment </c:v>
                </c:pt>
              </c:strCache>
            </c:strRef>
          </c:cat>
          <c:val>
            <c:numRef>
              <c:f>'Analysis '!$U$5:$U$9</c:f>
              <c:numCache>
                <c:formatCode>[$₹-44A]#,##0.00</c:formatCode>
                <c:ptCount val="5"/>
                <c:pt idx="0">
                  <c:v>360</c:v>
                </c:pt>
                <c:pt idx="1">
                  <c:v>120</c:v>
                </c:pt>
                <c:pt idx="2">
                  <c:v>200</c:v>
                </c:pt>
                <c:pt idx="3">
                  <c:v>250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8B-B14E-BFDE-83B6D769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921728"/>
        <c:axId val="1936303872"/>
      </c:barChart>
      <c:catAx>
        <c:axId val="19359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303872"/>
        <c:crosses val="autoZero"/>
        <c:auto val="1"/>
        <c:lblAlgn val="ctr"/>
        <c:lblOffset val="100"/>
        <c:noMultiLvlLbl val="0"/>
      </c:catAx>
      <c:valAx>
        <c:axId val="19363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92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'!$P$53</c:f>
              <c:strCache>
                <c:ptCount val="1"/>
                <c:pt idx="0">
                  <c:v>Daily Spending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'!$O$54:$O$58</c:f>
              <c:numCache>
                <c:formatCode>d\-mmm</c:formatCode>
                <c:ptCount val="5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</c:numCache>
            </c:numRef>
          </c:cat>
          <c:val>
            <c:numRef>
              <c:f>'Analysis '!$P$54:$P$58</c:f>
              <c:numCache>
                <c:formatCode>[$₹-44A]#,##0.00</c:formatCode>
                <c:ptCount val="5"/>
                <c:pt idx="0">
                  <c:v>340</c:v>
                </c:pt>
                <c:pt idx="1">
                  <c:v>170</c:v>
                </c:pt>
                <c:pt idx="2">
                  <c:v>580</c:v>
                </c:pt>
                <c:pt idx="3">
                  <c:v>300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E-C94D-B06B-B0D19C76B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968256"/>
        <c:axId val="1419970048"/>
      </c:barChart>
      <c:dateAx>
        <c:axId val="14199682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70048"/>
        <c:crosses val="autoZero"/>
        <c:auto val="1"/>
        <c:lblOffset val="100"/>
        <c:baseTimeUnit val="days"/>
      </c:dateAx>
      <c:valAx>
        <c:axId val="141997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6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131833</xdr:colOff>
      <xdr:row>9</xdr:row>
      <xdr:rowOff>160863</xdr:rowOff>
    </xdr:from>
    <xdr:to>
      <xdr:col>17</xdr:col>
      <xdr:colOff>454094</xdr:colOff>
      <xdr:row>27</xdr:row>
      <xdr:rowOff>109860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0E481-49E6-9A0C-781B-DE4F357FC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578607</xdr:colOff>
      <xdr:row>32</xdr:row>
      <xdr:rowOff>131836</xdr:rowOff>
    </xdr:from>
    <xdr:to>
      <xdr:col>17</xdr:col>
      <xdr:colOff>735473</xdr:colOff>
      <xdr:row>50</xdr:row>
      <xdr:rowOff>117188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02DBDB-FBB6-C07F-39E7-9F3E7B5CC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952467</xdr:colOff>
      <xdr:row>9</xdr:row>
      <xdr:rowOff>171758</xdr:rowOff>
    </xdr:from>
    <xdr:to>
      <xdr:col>22</xdr:col>
      <xdr:colOff>456580</xdr:colOff>
      <xdr:row>24</xdr:row>
      <xdr:rowOff>88247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682D45-F679-49FF-D4C9-2DF4C89B4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122330</xdr:colOff>
      <xdr:row>60</xdr:row>
      <xdr:rowOff>89958</xdr:rowOff>
    </xdr:from>
    <xdr:to>
      <xdr:col>17</xdr:col>
      <xdr:colOff>1224864</xdr:colOff>
      <xdr:row>75</xdr:row>
      <xdr:rowOff>31689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8100AB-83FF-E4E2-B2C0-C5751CD19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955A0-F7D0-7940-B650-A802C8001783}" name="Table1" displayName="Table1" ref="B1:O11" totalsRowShown="0">
  <autoFilter ref="B1:O11" xr:uid="{C8D955A0-F7D0-7940-B650-A802C8001783}"/>
  <tableColumns count="14">
    <tableColumn id="1" xr3:uid="{7F82BE61-06F5-2849-931F-F1B62CF7D417}" name="expense_date" dataDxfId="23"/>
    <tableColumn id="2" xr3:uid="{7BFA0217-FAF4-0D42-8EAC-1FBA5AF527E7}" name="amount" dataDxfId="22"/>
    <tableColumn id="3" xr3:uid="{E49C927B-9F60-0841-9D99-E75F6F066222}" name="category" dataDxfId="21"/>
    <tableColumn id="4" xr3:uid="{42F8EE8A-353C-4B45-AEE8-0D35E35F506E}" name="description" dataDxfId="20"/>
    <tableColumn id="5" xr3:uid="{5A6B7B36-E3FA-FA44-8735-97F250B6B5C8}" name="payment_method" dataDxfId="19"/>
    <tableColumn id="6" xr3:uid="{A12C21C4-BD08-9B4D-A0DD-72AECA584D96}" name="necessary" dataDxfId="18"/>
    <tableColumn id="7" xr3:uid="{8CDD4C7F-9BDE-A546-9E91-0756C704E9F0}" name="location" dataDxfId="17"/>
    <tableColumn id="8" xr3:uid="{B8820A4C-63B9-6944-9BAA-DB342C34C627}" name="Expense_Type" dataDxfId="16">
      <calculatedColumnFormula>IF(G2="yes","necessary","unnecessary")</calculatedColumnFormula>
    </tableColumn>
    <tableColumn id="9" xr3:uid="{D932794B-0E09-AB49-9408-1FE1A0740E7E}" name="High_Necessary " dataDxfId="15">
      <calculatedColumnFormula>IF(AND(C2&gt;100,G2="yes"),"High necessary","Other")</calculatedColumnFormula>
    </tableColumn>
    <tableColumn id="10" xr3:uid="{241FB49E-8D1E-9A48-BF8E-1DEE2DA45D12}" name="Description_Length." dataDxfId="14">
      <calculatedColumnFormula>LEN(Table1[[#This Row],[description]])</calculatedColumnFormula>
    </tableColumn>
    <tableColumn id="11" xr3:uid="{4B017D42-85E5-3F41-AE2B-1E2F0CA79A4E}" name="First_Letter" dataDxfId="13">
      <calculatedColumnFormula>LEFT(E2,1)</calculatedColumnFormula>
    </tableColumn>
    <tableColumn id="12" xr3:uid="{FDA8F5DF-75DA-B441-9D7A-AA5EDF3747FC}" name="Last_Letter" dataDxfId="12">
      <calculatedColumnFormula>RIGHT(E2,1)</calculatedColumnFormula>
    </tableColumn>
    <tableColumn id="13" xr3:uid="{BAF329B1-DF1A-6645-9813-D086D4939B04}" name="Expense_Label" dataDxfId="11">
      <calculatedColumnFormula>_xlfn.CONCAT(Table1[[#This Row],[category]],"-",Table1[[#This Row],[description]])</calculatedColumnFormula>
    </tableColumn>
    <tableColumn id="14" xr3:uid="{CE40A227-3950-8B45-8EAA-9E96EBB1B349}" name="Expense_Month" dataDxfId="10">
      <calculatedColumnFormula>CHOOSE(MONTH(B2),"January","February","March","April","May","June","July","August","September","October","November","December")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9D4B27-D9BE-2649-89E4-6BB720E308D9}" name="Table2" displayName="Table2" ref="A1:A11" totalsRowShown="0" headerRowDxfId="9">
  <autoFilter ref="A1:A11" xr:uid="{0B9D4B27-D9BE-2649-89E4-6BB720E308D9}"/>
  <tableColumns count="1">
    <tableColumn id="1" xr3:uid="{FDE6F3B6-BFC0-514D-8EBC-E2BE1EB16F26}" name="expense_id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FF7FAB-57B8-5E44-92B4-D03688B6A913}" name="Table5" displayName="Table5" ref="A1:D6" totalsRowShown="0" headerRowDxfId="7" headerRowBorderDxfId="6" tableBorderDxfId="5" totalsRowBorderDxfId="4">
  <autoFilter ref="A1:D6" xr:uid="{BEFF7FAB-57B8-5E44-92B4-D03688B6A913}"/>
  <tableColumns count="4">
    <tableColumn id="1" xr3:uid="{EE9BD199-6718-4244-BCF6-25F2B0615BC7}" name="budget_id" dataDxfId="3"/>
    <tableColumn id="2" xr3:uid="{ADCA04D0-440B-8847-88A2-30711477DD0C}" name="month" dataDxfId="2"/>
    <tableColumn id="3" xr3:uid="{DFE13A96-9D3B-4B45-8349-E822F964F234}" name="planned_amount" dataDxfId="1"/>
    <tableColumn id="4" xr3:uid="{CA609733-C9C3-094C-AF29-D13E1AB9C55E}" name="category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D3A5D7-25BF-6548-8EA3-D1074A3ED00E}" name="Table3" displayName="Table3" ref="I1:K5" totalsRowShown="0" headerRowDxfId="32" dataDxfId="31">
  <autoFilter ref="I1:K5" xr:uid="{3CD3A5D7-25BF-6548-8EA3-D1074A3ED00E}"/>
  <tableColumns count="3">
    <tableColumn id="1" xr3:uid="{B2AA0BF9-4822-7748-896D-4E0D1973D416}" name="Expense_id" dataDxfId="30"/>
    <tableColumn id="2" xr3:uid="{39A6172E-3124-E64B-8DBD-E341DD6ECA1C}" name="Category" dataDxfId="29"/>
    <tableColumn id="3" xr3:uid="{3E0404BA-6570-A849-88CB-78224C6CC23D}" name="Amount " data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A799F9-4446-C24C-A10F-2AFA622748A1}" name="Table4" displayName="Table4" ref="P1:T2" totalsRowShown="0">
  <autoFilter ref="P1:T2" xr:uid="{29A799F9-4446-C24C-A10F-2AFA622748A1}"/>
  <tableColumns count="5">
    <tableColumn id="1" xr3:uid="{B529FF1A-5FC8-AC42-A139-3B051BFE2C82}" name="Total spending " dataDxfId="27"/>
    <tableColumn id="2" xr3:uid="{7F5BD628-5124-1D46-804F-E2DAA8AF3EC5}" name="Transactions "/>
    <tableColumn id="3" xr3:uid="{4E2A4E97-194E-E44B-B29B-2F95BDF1D1CB}" name="AverageExpense" dataDxfId="26"/>
    <tableColumn id="4" xr3:uid="{BACAAA49-67EE-BC4A-89FF-91E0B264F92F}" name="Highest Expense" dataDxfId="25"/>
    <tableColumn id="5" xr3:uid="{C42819F2-8635-304D-BC99-3F84252CE5B7}" name="Lowest Expenses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 /><Relationship Id="rId2" Type="http://schemas.openxmlformats.org/officeDocument/2006/relationships/table" Target="../tables/table4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7F59-5AFF-D148-88BA-00DAF527409D}">
  <dimension ref="A1:O11"/>
  <sheetViews>
    <sheetView zoomScaleNormal="60" zoomScaleSheetLayoutView="100" workbookViewId="0">
      <selection activeCell="I134" sqref="I134"/>
    </sheetView>
  </sheetViews>
  <sheetFormatPr defaultRowHeight="15" x14ac:dyDescent="0.2"/>
  <cols>
    <col min="1" max="1" width="13.31640625" bestFit="1" customWidth="1"/>
    <col min="2" max="2" width="15.6015625" bestFit="1" customWidth="1"/>
    <col min="3" max="3" width="10.22265625" bestFit="1" customWidth="1"/>
    <col min="4" max="4" width="11.02734375" bestFit="1" customWidth="1"/>
    <col min="5" max="5" width="13.71875" bestFit="1" customWidth="1"/>
    <col min="6" max="6" width="18.83203125" bestFit="1" customWidth="1"/>
    <col min="7" max="7" width="12.5078125" bestFit="1" customWidth="1"/>
    <col min="8" max="8" width="10.76171875" bestFit="1" customWidth="1"/>
    <col min="9" max="9" width="14.796875" customWidth="1"/>
    <col min="10" max="10" width="16.6796875" customWidth="1"/>
    <col min="11" max="11" width="19.90625" customWidth="1"/>
    <col min="12" max="12" width="12.64453125" customWidth="1"/>
    <col min="13" max="13" width="12.375" customWidth="1"/>
    <col min="14" max="14" width="15.87109375" customWidth="1"/>
    <col min="15" max="15" width="16.41015625" customWidth="1"/>
  </cols>
  <sheetData>
    <row r="1" spans="1:1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</row>
    <row r="2" spans="1:15" x14ac:dyDescent="0.2">
      <c r="A2" s="10">
        <v>2</v>
      </c>
      <c r="B2" s="12">
        <v>46266</v>
      </c>
      <c r="C2" s="16">
        <v>30</v>
      </c>
      <c r="D2" s="10" t="s">
        <v>13</v>
      </c>
      <c r="E2" s="10" t="s">
        <v>14</v>
      </c>
      <c r="F2" s="10" t="s">
        <v>10</v>
      </c>
      <c r="G2" s="10" t="s">
        <v>11</v>
      </c>
      <c r="H2" s="10" t="s">
        <v>15</v>
      </c>
      <c r="I2" s="10" t="str">
        <f t="shared" ref="I2:I11" si="0">IF(G2="yes","necessary","unnecessary")</f>
        <v>necessary</v>
      </c>
      <c r="J2" s="10" t="str">
        <f t="shared" ref="J2:J11" si="1">IF(AND(C2&gt;100,G2="yes"),"High necessary","Other")</f>
        <v>Other</v>
      </c>
      <c r="K2" s="10">
        <f>LEN(Table1[[#This Row],[description]])</f>
        <v>3</v>
      </c>
      <c r="L2" s="13" t="str">
        <f t="shared" ref="L2:L11" si="2">LEFT(E2,1)</f>
        <v>B</v>
      </c>
      <c r="M2" s="13" t="str">
        <f>RIGHT(E2,1)</f>
        <v>s</v>
      </c>
      <c r="N2" s="13" t="str">
        <f>_xlfn.CONCAT(Table1[[#This Row],[category]],"-",Table1[[#This Row],[description]])</f>
        <v>Transport-Bus</v>
      </c>
      <c r="O2" s="12" t="str">
        <f t="shared" ref="O2:O11" si="3">CHOOSE(MONTH(B2),"January","February","March","April","May","June","July","August","September","October","November","December")</f>
        <v>September</v>
      </c>
    </row>
    <row r="3" spans="1:15" x14ac:dyDescent="0.2">
      <c r="A3" s="10">
        <v>10</v>
      </c>
      <c r="B3" s="12">
        <v>46270</v>
      </c>
      <c r="C3" s="16">
        <v>40</v>
      </c>
      <c r="D3" s="10" t="s">
        <v>13</v>
      </c>
      <c r="E3" s="10" t="s">
        <v>14</v>
      </c>
      <c r="F3" s="10" t="s">
        <v>10</v>
      </c>
      <c r="G3" s="10" t="s">
        <v>11</v>
      </c>
      <c r="H3" s="10" t="s">
        <v>15</v>
      </c>
      <c r="I3" s="10" t="str">
        <f t="shared" si="0"/>
        <v>necessary</v>
      </c>
      <c r="J3" s="10" t="str">
        <f t="shared" si="1"/>
        <v>Other</v>
      </c>
      <c r="K3" s="10">
        <f>LEN(Table1[[#This Row],[description]])</f>
        <v>3</v>
      </c>
      <c r="L3" s="13" t="str">
        <f t="shared" si="2"/>
        <v>B</v>
      </c>
      <c r="M3" s="13" t="str">
        <f t="shared" ref="M2:M11" si="4">RIGHT(E3,1)</f>
        <v>s</v>
      </c>
      <c r="N3" s="13" t="str">
        <f>_xlfn.CONCAT(Table1[[#This Row],[category]],"-",Table1[[#This Row],[description]])</f>
        <v>Transport-Bus</v>
      </c>
      <c r="O3" s="12" t="str">
        <f t="shared" si="3"/>
        <v>September</v>
      </c>
    </row>
    <row r="4" spans="1:15" x14ac:dyDescent="0.2">
      <c r="A4" s="10">
        <v>5</v>
      </c>
      <c r="B4" s="12">
        <v>46267</v>
      </c>
      <c r="C4" s="16">
        <v>50</v>
      </c>
      <c r="D4" s="10" t="s">
        <v>13</v>
      </c>
      <c r="E4" s="10" t="s">
        <v>23</v>
      </c>
      <c r="F4" s="10" t="s">
        <v>10</v>
      </c>
      <c r="G4" s="10" t="s">
        <v>11</v>
      </c>
      <c r="H4" s="10" t="s">
        <v>15</v>
      </c>
      <c r="I4" s="10" t="str">
        <f t="shared" si="0"/>
        <v>necessary</v>
      </c>
      <c r="J4" s="10" t="str">
        <f t="shared" si="1"/>
        <v>Other</v>
      </c>
      <c r="K4" s="10">
        <f>LEN(Table1[[#This Row],[description]])</f>
        <v>4</v>
      </c>
      <c r="L4" s="13" t="str">
        <f t="shared" si="2"/>
        <v>A</v>
      </c>
      <c r="M4" s="13" t="str">
        <f t="shared" si="4"/>
        <v>o</v>
      </c>
      <c r="N4" s="13" t="str">
        <f>_xlfn.CONCAT(Table1[[#This Row],[category]],"-",Table1[[#This Row],[description]])</f>
        <v>Transport-Auto</v>
      </c>
      <c r="O4" s="12" t="str">
        <f t="shared" si="3"/>
        <v>September</v>
      </c>
    </row>
    <row r="5" spans="1:15" x14ac:dyDescent="0.2">
      <c r="A5" s="10">
        <v>1</v>
      </c>
      <c r="B5" s="12">
        <v>46266</v>
      </c>
      <c r="C5" s="16">
        <v>60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tr">
        <f t="shared" si="0"/>
        <v>necessary</v>
      </c>
      <c r="J5" s="10" t="str">
        <f t="shared" si="1"/>
        <v>Other</v>
      </c>
      <c r="K5" s="10">
        <f>LEN(Table1[[#This Row],[description]])</f>
        <v>9</v>
      </c>
      <c r="L5" s="13" t="str">
        <f t="shared" si="2"/>
        <v>B</v>
      </c>
      <c r="M5" s="13" t="str">
        <f t="shared" si="4"/>
        <v>t</v>
      </c>
      <c r="N5" s="13" t="str">
        <f>_xlfn.CONCAT(Table1[[#This Row],[category]],"-",Table1[[#This Row],[description]])</f>
        <v>Food-Breakfast</v>
      </c>
      <c r="O5" s="12" t="str">
        <f t="shared" si="3"/>
        <v>September</v>
      </c>
    </row>
    <row r="6" spans="1:15" x14ac:dyDescent="0.2">
      <c r="A6" s="10">
        <v>9</v>
      </c>
      <c r="B6" s="12">
        <v>46268</v>
      </c>
      <c r="C6" s="16">
        <v>80</v>
      </c>
      <c r="D6" s="10" t="s">
        <v>8</v>
      </c>
      <c r="E6" s="10" t="s">
        <v>27</v>
      </c>
      <c r="F6" s="10" t="s">
        <v>10</v>
      </c>
      <c r="G6" s="10" t="s">
        <v>11</v>
      </c>
      <c r="H6" s="10" t="s">
        <v>28</v>
      </c>
      <c r="I6" s="10" t="str">
        <f t="shared" si="0"/>
        <v>necessary</v>
      </c>
      <c r="J6" s="10" t="str">
        <f t="shared" si="1"/>
        <v>Other</v>
      </c>
      <c r="K6" s="10">
        <f>LEN(Table1[[#This Row],[description]])</f>
        <v>6</v>
      </c>
      <c r="L6" s="13" t="str">
        <f t="shared" si="2"/>
        <v>D</v>
      </c>
      <c r="M6" s="13" t="str">
        <f t="shared" si="4"/>
        <v>r</v>
      </c>
      <c r="N6" s="13" t="str">
        <f>_xlfn.CONCAT(Table1[[#This Row],[category]],"-",Table1[[#This Row],[description]])</f>
        <v>Food-Dinner</v>
      </c>
      <c r="O6" s="12" t="str">
        <f t="shared" si="3"/>
        <v>September</v>
      </c>
    </row>
    <row r="7" spans="1:15" x14ac:dyDescent="0.2">
      <c r="A7" s="10">
        <v>7</v>
      </c>
      <c r="B7" s="12">
        <v>46269</v>
      </c>
      <c r="C7" s="16">
        <v>100</v>
      </c>
      <c r="D7" s="10" t="s">
        <v>8</v>
      </c>
      <c r="E7" s="10" t="s">
        <v>32</v>
      </c>
      <c r="F7" s="10" t="s">
        <v>18</v>
      </c>
      <c r="G7" s="10" t="s">
        <v>19</v>
      </c>
      <c r="H7" s="10" t="s">
        <v>22</v>
      </c>
      <c r="I7" s="10" t="str">
        <f t="shared" si="0"/>
        <v>unnecessary</v>
      </c>
      <c r="J7" s="10" t="str">
        <f t="shared" si="1"/>
        <v>Other</v>
      </c>
      <c r="K7" s="10">
        <f>LEN(Table1[[#This Row],[description]])</f>
        <v>6</v>
      </c>
      <c r="L7" s="13" t="str">
        <f t="shared" si="2"/>
        <v>S</v>
      </c>
      <c r="M7" s="13" t="str">
        <f t="shared" si="4"/>
        <v>s</v>
      </c>
      <c r="N7" s="13" t="str">
        <f>_xlfn.CONCAT(Table1[[#This Row],[category]],"-",Table1[[#This Row],[description]])</f>
        <v>Food-Snacks</v>
      </c>
      <c r="O7" s="12" t="str">
        <f t="shared" si="3"/>
        <v>September</v>
      </c>
    </row>
    <row r="8" spans="1:15" x14ac:dyDescent="0.2">
      <c r="A8" s="10">
        <v>4</v>
      </c>
      <c r="B8" s="12">
        <v>46267</v>
      </c>
      <c r="C8" s="16">
        <v>120</v>
      </c>
      <c r="D8" s="10" t="s">
        <v>8</v>
      </c>
      <c r="E8" s="10" t="s">
        <v>21</v>
      </c>
      <c r="F8" s="10" t="s">
        <v>18</v>
      </c>
      <c r="G8" s="10" t="s">
        <v>11</v>
      </c>
      <c r="H8" s="10" t="s">
        <v>22</v>
      </c>
      <c r="I8" s="10" t="str">
        <f t="shared" si="0"/>
        <v>necessary</v>
      </c>
      <c r="J8" s="10" t="str">
        <f t="shared" si="1"/>
        <v>High necessary</v>
      </c>
      <c r="K8" s="10">
        <f>LEN(Table1[[#This Row],[description]])</f>
        <v>5</v>
      </c>
      <c r="L8" s="13" t="str">
        <f t="shared" si="2"/>
        <v>L</v>
      </c>
      <c r="M8" s="13" t="str">
        <f t="shared" si="4"/>
        <v>h</v>
      </c>
      <c r="N8" s="13" t="str">
        <f>_xlfn.CONCAT(Table1[[#This Row],[category]],"-",Table1[[#This Row],[description]])</f>
        <v>Food-Lunch</v>
      </c>
      <c r="O8" s="12" t="str">
        <f t="shared" si="3"/>
        <v>September</v>
      </c>
    </row>
    <row r="9" spans="1:15" x14ac:dyDescent="0.2">
      <c r="A9" s="10">
        <v>8</v>
      </c>
      <c r="B9" s="12">
        <v>46269</v>
      </c>
      <c r="C9" s="16">
        <v>200</v>
      </c>
      <c r="D9" s="10" t="s">
        <v>29</v>
      </c>
      <c r="E9" s="10" t="s">
        <v>30</v>
      </c>
      <c r="F9" s="10" t="s">
        <v>18</v>
      </c>
      <c r="G9" s="10" t="s">
        <v>11</v>
      </c>
      <c r="H9" s="10" t="s">
        <v>31</v>
      </c>
      <c r="I9" s="10" t="str">
        <f t="shared" si="0"/>
        <v>necessary</v>
      </c>
      <c r="J9" s="10" t="str">
        <f t="shared" si="1"/>
        <v>High necessary</v>
      </c>
      <c r="K9" s="10">
        <f>LEN(Table1[[#This Row],[description]])</f>
        <v>5</v>
      </c>
      <c r="L9" s="13" t="str">
        <f t="shared" si="2"/>
        <v>B</v>
      </c>
      <c r="M9" s="13" t="str">
        <f t="shared" si="4"/>
        <v>s</v>
      </c>
      <c r="N9" s="13" t="str">
        <f>_xlfn.CONCAT(Table1[[#This Row],[category]],"-",Table1[[#This Row],[description]])</f>
        <v>Education-Books</v>
      </c>
      <c r="O9" s="12" t="str">
        <f t="shared" si="3"/>
        <v>September</v>
      </c>
    </row>
    <row r="10" spans="1:15" x14ac:dyDescent="0.2">
      <c r="A10" s="10">
        <v>3</v>
      </c>
      <c r="B10" s="12">
        <v>46266</v>
      </c>
      <c r="C10" s="16">
        <v>250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tr">
        <f t="shared" si="0"/>
        <v>unnecessary</v>
      </c>
      <c r="J10" s="10" t="str">
        <f t="shared" si="1"/>
        <v>Other</v>
      </c>
      <c r="K10" s="10">
        <f>LEN(Table1[[#This Row],[description]])</f>
        <v>7</v>
      </c>
      <c r="L10" s="13" t="str">
        <f t="shared" si="2"/>
        <v>T</v>
      </c>
      <c r="M10" s="13" t="str">
        <f t="shared" si="4"/>
        <v>t</v>
      </c>
      <c r="N10" s="13" t="str">
        <f>_xlfn.CONCAT(Table1[[#This Row],[category]],"-",Table1[[#This Row],[description]])</f>
        <v>Shopping-T-shirt</v>
      </c>
      <c r="O10" s="12" t="str">
        <f t="shared" si="3"/>
        <v>September</v>
      </c>
    </row>
    <row r="11" spans="1:15" x14ac:dyDescent="0.2">
      <c r="A11" s="10">
        <v>6</v>
      </c>
      <c r="B11" s="12">
        <v>46268</v>
      </c>
      <c r="C11" s="16">
        <v>500</v>
      </c>
      <c r="D11" s="10" t="s">
        <v>24</v>
      </c>
      <c r="E11" s="10" t="s">
        <v>25</v>
      </c>
      <c r="F11" s="10" t="s">
        <v>18</v>
      </c>
      <c r="G11" s="10" t="s">
        <v>19</v>
      </c>
      <c r="H11" s="10" t="s">
        <v>26</v>
      </c>
      <c r="I11" s="10" t="str">
        <f t="shared" si="0"/>
        <v>unnecessary</v>
      </c>
      <c r="J11" s="10" t="str">
        <f t="shared" si="1"/>
        <v>Other</v>
      </c>
      <c r="K11" s="10">
        <f>LEN(Table1[[#This Row],[description]])</f>
        <v>5</v>
      </c>
      <c r="L11" s="13" t="str">
        <f t="shared" si="2"/>
        <v>M</v>
      </c>
      <c r="M11" s="13" t="str">
        <f t="shared" si="4"/>
        <v>e</v>
      </c>
      <c r="N11" s="13" t="str">
        <f>_xlfn.CONCAT(Table1[[#This Row],[category]],"-",Table1[[#This Row],[description]])</f>
        <v>Entertainment-Movie</v>
      </c>
      <c r="O11" s="12" t="str">
        <f t="shared" si="3"/>
        <v>September</v>
      </c>
    </row>
  </sheetData>
  <sortState xmlns:xlrd2="http://schemas.microsoft.com/office/spreadsheetml/2017/richdata2" ref="A2:H11">
    <sortCondition ref="C2:C11"/>
  </sortState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0E76-0234-614D-8002-16F4B9736268}">
  <dimension ref="A1:D6"/>
  <sheetViews>
    <sheetView zoomScaleNormal="60" zoomScaleSheetLayoutView="100" workbookViewId="0">
      <selection activeCell="E30" sqref="E30"/>
    </sheetView>
  </sheetViews>
  <sheetFormatPr defaultRowHeight="15" x14ac:dyDescent="0.2"/>
  <cols>
    <col min="1" max="1" width="12.5078125" bestFit="1" customWidth="1"/>
    <col min="2" max="2" width="9.68359375" bestFit="1" customWidth="1"/>
    <col min="3" max="3" width="18.96484375" bestFit="1" customWidth="1"/>
    <col min="4" max="4" width="11.97265625" customWidth="1"/>
  </cols>
  <sheetData>
    <row r="1" spans="1:4" x14ac:dyDescent="0.2">
      <c r="A1" s="28" t="s">
        <v>33</v>
      </c>
      <c r="B1" s="29" t="s">
        <v>34</v>
      </c>
      <c r="C1" s="29" t="s">
        <v>35</v>
      </c>
      <c r="D1" s="30" t="s">
        <v>3</v>
      </c>
    </row>
    <row r="2" spans="1:4" x14ac:dyDescent="0.2">
      <c r="A2" s="26">
        <v>1</v>
      </c>
      <c r="B2" s="11">
        <v>46266</v>
      </c>
      <c r="C2" s="16">
        <v>5000</v>
      </c>
      <c r="D2" s="27" t="s">
        <v>8</v>
      </c>
    </row>
    <row r="3" spans="1:4" x14ac:dyDescent="0.2">
      <c r="A3" s="26">
        <v>2</v>
      </c>
      <c r="B3" s="11">
        <v>46266</v>
      </c>
      <c r="C3" s="16">
        <v>2000</v>
      </c>
      <c r="D3" s="27" t="s">
        <v>13</v>
      </c>
    </row>
    <row r="4" spans="1:4" x14ac:dyDescent="0.2">
      <c r="A4" s="26">
        <v>3</v>
      </c>
      <c r="B4" s="11">
        <v>46266</v>
      </c>
      <c r="C4" s="16">
        <v>3000</v>
      </c>
      <c r="D4" s="27" t="s">
        <v>29</v>
      </c>
    </row>
    <row r="5" spans="1:4" x14ac:dyDescent="0.2">
      <c r="A5" s="26">
        <v>4</v>
      </c>
      <c r="B5" s="11">
        <v>46266</v>
      </c>
      <c r="C5" s="16">
        <v>2000</v>
      </c>
      <c r="D5" s="27" t="s">
        <v>16</v>
      </c>
    </row>
    <row r="6" spans="1:4" x14ac:dyDescent="0.2">
      <c r="A6" s="31">
        <v>5</v>
      </c>
      <c r="B6" s="32">
        <v>46266</v>
      </c>
      <c r="C6" s="33">
        <v>1500</v>
      </c>
      <c r="D6" s="34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E84B-771C-2B45-B9F4-C72E7051C694}">
  <dimension ref="A1:V58"/>
  <sheetViews>
    <sheetView tabSelected="1" topLeftCell="N1" zoomScaleNormal="60" zoomScaleSheetLayoutView="100" workbookViewId="0">
      <selection activeCell="S92" sqref="S92"/>
    </sheetView>
  </sheetViews>
  <sheetFormatPr defaultRowHeight="15" x14ac:dyDescent="0.2"/>
  <cols>
    <col min="1" max="1" width="15.73828125" customWidth="1"/>
    <col min="2" max="2" width="11.56640625" customWidth="1"/>
    <col min="6" max="6" width="11.703125" bestFit="1" customWidth="1"/>
    <col min="7" max="7" width="9.4140625" bestFit="1" customWidth="1"/>
    <col min="9" max="9" width="13.31640625" customWidth="1"/>
    <col min="10" max="10" width="11.43359375" bestFit="1" customWidth="1"/>
    <col min="11" max="11" width="10.76171875" bestFit="1" customWidth="1"/>
    <col min="16" max="16" width="16.8125" customWidth="1"/>
    <col min="17" max="17" width="15.06640625" customWidth="1"/>
    <col min="18" max="19" width="17.890625" customWidth="1"/>
    <col min="20" max="20" width="18.5625" customWidth="1"/>
    <col min="22" max="22" width="10.35546875" bestFit="1" customWidth="1"/>
  </cols>
  <sheetData>
    <row r="1" spans="1:22" x14ac:dyDescent="0.2">
      <c r="A1" s="2" t="s">
        <v>36</v>
      </c>
      <c r="B1" s="24">
        <v>1430</v>
      </c>
      <c r="D1" t="s">
        <v>39</v>
      </c>
      <c r="F1" s="14" t="s">
        <v>47</v>
      </c>
      <c r="G1" s="14" t="s">
        <v>52</v>
      </c>
      <c r="I1" s="2" t="s">
        <v>54</v>
      </c>
      <c r="J1" s="2" t="s">
        <v>55</v>
      </c>
      <c r="K1" s="2" t="s">
        <v>56</v>
      </c>
      <c r="P1" t="s">
        <v>36</v>
      </c>
      <c r="Q1" t="s">
        <v>60</v>
      </c>
      <c r="R1" t="s">
        <v>61</v>
      </c>
      <c r="S1" t="s">
        <v>62</v>
      </c>
      <c r="T1" t="s">
        <v>63</v>
      </c>
    </row>
    <row r="2" spans="1:22" x14ac:dyDescent="0.2">
      <c r="A2" s="2" t="s">
        <v>37</v>
      </c>
      <c r="B2" s="5">
        <f>COUNT('Expenses '!A2:A11)</f>
        <v>10</v>
      </c>
      <c r="D2">
        <v>100</v>
      </c>
      <c r="F2" s="10" t="s">
        <v>48</v>
      </c>
      <c r="G2" s="16">
        <v>5000</v>
      </c>
      <c r="I2" s="9">
        <v>1</v>
      </c>
      <c r="J2" s="9" t="s">
        <v>57</v>
      </c>
      <c r="K2" s="22">
        <v>60</v>
      </c>
      <c r="P2" s="21">
        <v>1430</v>
      </c>
      <c r="Q2">
        <v>10</v>
      </c>
      <c r="R2" s="21">
        <v>143</v>
      </c>
      <c r="S2" s="21">
        <v>500</v>
      </c>
      <c r="T2" s="21">
        <v>30</v>
      </c>
    </row>
    <row r="3" spans="1:22" x14ac:dyDescent="0.2">
      <c r="A3" s="2" t="s">
        <v>38</v>
      </c>
      <c r="B3" s="25">
        <f>AVERAGE('Expenses '!C2:C11)</f>
        <v>143</v>
      </c>
      <c r="D3">
        <v>200</v>
      </c>
      <c r="F3" s="10" t="s">
        <v>49</v>
      </c>
      <c r="G3" s="16">
        <v>2000</v>
      </c>
      <c r="I3" s="9">
        <v>2</v>
      </c>
      <c r="J3" s="9" t="s">
        <v>49</v>
      </c>
      <c r="K3" s="23">
        <v>30</v>
      </c>
    </row>
    <row r="4" spans="1:22" x14ac:dyDescent="0.2">
      <c r="B4" s="6"/>
      <c r="D4">
        <v>300</v>
      </c>
      <c r="F4" s="10" t="s">
        <v>50</v>
      </c>
      <c r="G4" s="16">
        <v>3000</v>
      </c>
      <c r="I4" s="9">
        <v>3</v>
      </c>
      <c r="J4" s="9" t="s">
        <v>57</v>
      </c>
      <c r="K4" s="22">
        <v>60</v>
      </c>
      <c r="P4" s="14" t="s">
        <v>3</v>
      </c>
      <c r="Q4" s="14" t="s">
        <v>36</v>
      </c>
      <c r="S4" s="14" t="s">
        <v>71</v>
      </c>
      <c r="T4" s="14" t="s">
        <v>52</v>
      </c>
      <c r="U4" s="14" t="s">
        <v>72</v>
      </c>
      <c r="V4" s="14" t="s">
        <v>73</v>
      </c>
    </row>
    <row r="5" spans="1:22" x14ac:dyDescent="0.2">
      <c r="B5" s="6">
        <f>SUM('Expenses '!C2:C11)</f>
        <v>1430</v>
      </c>
      <c r="D5">
        <f>SUM(D2:D4)</f>
        <v>600</v>
      </c>
      <c r="F5" s="10" t="s">
        <v>51</v>
      </c>
      <c r="G5" s="16">
        <v>2000</v>
      </c>
      <c r="I5" s="9">
        <v>3</v>
      </c>
      <c r="J5" s="9" t="s">
        <v>57</v>
      </c>
      <c r="K5" s="22">
        <v>60</v>
      </c>
      <c r="P5" s="10" t="s">
        <v>8</v>
      </c>
      <c r="Q5" s="16">
        <f>SUMIF(Table1[category],P5,Table1[amount])</f>
        <v>360</v>
      </c>
      <c r="S5" s="10" t="s">
        <v>8</v>
      </c>
      <c r="T5" s="16">
        <v>5000</v>
      </c>
      <c r="U5" s="16">
        <v>360</v>
      </c>
      <c r="V5" s="16">
        <v>4640</v>
      </c>
    </row>
    <row r="6" spans="1:22" x14ac:dyDescent="0.2">
      <c r="B6" s="6">
        <f>AVERAGE('Expenses '!C2:C11)</f>
        <v>143</v>
      </c>
      <c r="F6" s="10" t="s">
        <v>53</v>
      </c>
      <c r="G6" s="16">
        <v>1500</v>
      </c>
      <c r="P6" s="10" t="s">
        <v>64</v>
      </c>
      <c r="Q6" s="16">
        <f>SUMIF(Table1[category],"Transport",Table1[amount])</f>
        <v>120</v>
      </c>
      <c r="S6" s="10" t="s">
        <v>64</v>
      </c>
      <c r="T6" s="16">
        <v>2000</v>
      </c>
      <c r="U6" s="16">
        <v>120</v>
      </c>
      <c r="V6" s="16">
        <v>1880</v>
      </c>
    </row>
    <row r="7" spans="1:22" x14ac:dyDescent="0.2">
      <c r="B7" s="6">
        <f>COUNT('Expenses '!C2:C11)</f>
        <v>10</v>
      </c>
      <c r="D7">
        <v>10</v>
      </c>
      <c r="P7" s="10" t="s">
        <v>65</v>
      </c>
      <c r="Q7" s="16">
        <v>250</v>
      </c>
      <c r="S7" s="10" t="s">
        <v>29</v>
      </c>
      <c r="T7" s="16">
        <v>3000</v>
      </c>
      <c r="U7" s="16">
        <v>200</v>
      </c>
      <c r="V7" s="16">
        <v>2800</v>
      </c>
    </row>
    <row r="8" spans="1:22" x14ac:dyDescent="0.2">
      <c r="B8" s="6">
        <f>MIN('Expenses '!C2:C11)</f>
        <v>30</v>
      </c>
      <c r="D8">
        <v>30</v>
      </c>
      <c r="F8">
        <f>VLOOKUP(F2,F2:G7,2,FALSE)</f>
        <v>5000</v>
      </c>
      <c r="P8" s="10" t="s">
        <v>66</v>
      </c>
      <c r="Q8" s="16">
        <v>500</v>
      </c>
      <c r="S8" s="10" t="s">
        <v>65</v>
      </c>
      <c r="T8" s="16">
        <v>2000</v>
      </c>
      <c r="U8" s="16">
        <v>250</v>
      </c>
      <c r="V8" s="16">
        <v>1750</v>
      </c>
    </row>
    <row r="9" spans="1:22" x14ac:dyDescent="0.2">
      <c r="B9" s="6">
        <f>MAX('Expenses '!C2:C11)</f>
        <v>500</v>
      </c>
      <c r="D9">
        <v>30</v>
      </c>
      <c r="F9">
        <f>VLOOKUP(F4,F2:G6,2,FALSE)</f>
        <v>3000</v>
      </c>
      <c r="P9" s="10" t="s">
        <v>67</v>
      </c>
      <c r="Q9" s="16">
        <v>200</v>
      </c>
      <c r="S9" s="10" t="s">
        <v>66</v>
      </c>
      <c r="T9" s="16">
        <v>1500</v>
      </c>
      <c r="U9" s="16">
        <v>500</v>
      </c>
      <c r="V9" s="16">
        <v>1000</v>
      </c>
    </row>
    <row r="10" spans="1:22" x14ac:dyDescent="0.2">
      <c r="B10" s="6">
        <f>SUMIF('Expenses '!D2:D10,'Expenses '!D6,Table1[amount])</f>
        <v>360</v>
      </c>
      <c r="D10" s="3">
        <f>D7</f>
        <v>10</v>
      </c>
      <c r="F10">
        <f>VLOOKUP(F6,F2:G6,2,FALSE)</f>
        <v>1500</v>
      </c>
    </row>
    <row r="11" spans="1:22" x14ac:dyDescent="0.2">
      <c r="B11" s="6">
        <f>COUNT('Expenses '!A5:A8,'Expenses '!D5:D8)</f>
        <v>4</v>
      </c>
      <c r="D11">
        <v>30</v>
      </c>
      <c r="F11">
        <f>INDEX(G2:G6,MATCH(F6,F2:F6,0))</f>
        <v>1500</v>
      </c>
      <c r="M11" t="s">
        <v>58</v>
      </c>
    </row>
    <row r="12" spans="1:22" x14ac:dyDescent="0.2">
      <c r="B12" s="6">
        <f>COUNTIF(Table1[payment_method],'Expenses '!F8)</f>
        <v>5</v>
      </c>
      <c r="D12">
        <v>100</v>
      </c>
      <c r="M12" t="str">
        <f>TRIM(M11)</f>
        <v>" Food "</v>
      </c>
    </row>
    <row r="13" spans="1:22" x14ac:dyDescent="0.2">
      <c r="B13" s="6">
        <f>SUMIFS(Table1[amount],Table1[category],'Expenses '!D7,Table1[necessary],'Expenses '!G4)</f>
        <v>260</v>
      </c>
      <c r="D13">
        <v>100</v>
      </c>
      <c r="M13" t="s">
        <v>59</v>
      </c>
    </row>
    <row r="14" spans="1:22" x14ac:dyDescent="0.2">
      <c r="B14" s="6">
        <f>COUNTIFS(Table1[category],'Expenses '!D5,Table1[necessary],'Expenses '!G4)</f>
        <v>3</v>
      </c>
      <c r="D14">
        <v>100</v>
      </c>
      <c r="F14" t="b">
        <f>F6="Entertainment"</f>
        <v>1</v>
      </c>
      <c r="M14" t="str">
        <f>SUBSTITUTE(M13,"-","")</f>
        <v>Food</v>
      </c>
    </row>
    <row r="15" spans="1:22" x14ac:dyDescent="0.2">
      <c r="B15" s="6" t="str">
        <f>IFERROR(1000/0,"Invalid calculation")</f>
        <v>Invalid calculation</v>
      </c>
      <c r="D15">
        <f>D13*3</f>
        <v>300</v>
      </c>
      <c r="F15">
        <f>MATCH("Entertainment",F2:F6,0)</f>
        <v>5</v>
      </c>
      <c r="M15" t="str">
        <f>UPPER(M14)</f>
        <v>FOOD</v>
      </c>
    </row>
    <row r="16" spans="1:22" x14ac:dyDescent="0.2">
      <c r="B16" s="6">
        <f>ROUND(AVERAGE(Table1[amount]),2)</f>
        <v>143</v>
      </c>
      <c r="D16">
        <f>$D$13*4</f>
        <v>400</v>
      </c>
      <c r="F16" t="str">
        <f>TRIM(F6)</f>
        <v>entertainment</v>
      </c>
      <c r="M16" t="str">
        <f>LOWER(M14)</f>
        <v>food</v>
      </c>
    </row>
    <row r="17" spans="2:17" x14ac:dyDescent="0.2">
      <c r="B17" s="4">
        <f>MONTH('Expenses '!B2)</f>
        <v>9</v>
      </c>
      <c r="D17">
        <f>$D$13*4</f>
        <v>400</v>
      </c>
      <c r="F17" t="b">
        <f>F6="Entertainment"</f>
        <v>1</v>
      </c>
      <c r="M17" t="str">
        <f>PROPER(M14)</f>
        <v>Food</v>
      </c>
    </row>
    <row r="18" spans="2:17" x14ac:dyDescent="0.2">
      <c r="B18">
        <f>DAY('Expenses '!B2)</f>
        <v>1</v>
      </c>
      <c r="F18" s="8" t="b">
        <f>F6="Entertainment"</f>
        <v>1</v>
      </c>
      <c r="M18">
        <v>69</v>
      </c>
    </row>
    <row r="19" spans="2:17" x14ac:dyDescent="0.2">
      <c r="B19">
        <f>YEAR('Expenses '!B2)</f>
        <v>2026</v>
      </c>
      <c r="M19">
        <f>VALUE(M18)</f>
        <v>69</v>
      </c>
    </row>
    <row r="20" spans="2:17" x14ac:dyDescent="0.2">
      <c r="B20">
        <f>AVERAGEIF(Table1[category],"food",Table1[amount])</f>
        <v>90</v>
      </c>
    </row>
    <row r="21" spans="2:17" x14ac:dyDescent="0.2">
      <c r="B21">
        <f>AVERAGEIFS(Table1[amount],Table1[category],'Expenses '!D8,Table1[necessary],"yes")</f>
        <v>86.666666666666671</v>
      </c>
      <c r="M21">
        <f>MAX(Table1[amount])</f>
        <v>500</v>
      </c>
    </row>
    <row r="22" spans="2:17" x14ac:dyDescent="0.2">
      <c r="B22">
        <f>_xlfn.XLOOKUP("Education",Monthly_Budget!D2:D6,Monthly_Budget!C2:C6)</f>
        <v>3000</v>
      </c>
      <c r="M22">
        <f>MIN(Table1[amount])</f>
        <v>30</v>
      </c>
    </row>
    <row r="23" spans="2:17" x14ac:dyDescent="0.2">
      <c r="B23">
        <f>_xlfn.XLOOKUP(Monthly_Budget!D5,Monthly_Budget!D2:D6,Monthly_Budget!C2:C6)</f>
        <v>2000</v>
      </c>
    </row>
    <row r="24" spans="2:17" x14ac:dyDescent="0.2">
      <c r="B24">
        <f>_xlfn.XLOOKUP(Monthly_Budget!D3,Monthly_Budget!D2:D6,Monthly_Budget!C2:C6)</f>
        <v>2000</v>
      </c>
      <c r="P24" s="2"/>
      <c r="Q24" s="2"/>
    </row>
    <row r="26" spans="2:17" x14ac:dyDescent="0.2">
      <c r="B26" s="7"/>
      <c r="C26" s="7"/>
    </row>
    <row r="27" spans="2:17" x14ac:dyDescent="0.2">
      <c r="C27" s="2"/>
    </row>
    <row r="30" spans="2:17" x14ac:dyDescent="0.2">
      <c r="P30" s="14" t="s">
        <v>74</v>
      </c>
      <c r="Q30" s="14" t="s">
        <v>75</v>
      </c>
    </row>
    <row r="31" spans="2:17" x14ac:dyDescent="0.2">
      <c r="P31" s="15" t="s">
        <v>68</v>
      </c>
      <c r="Q31" s="20">
        <f>60+30+120+50+80+200+40</f>
        <v>580</v>
      </c>
    </row>
    <row r="32" spans="2:17" x14ac:dyDescent="0.2">
      <c r="P32" s="15" t="s">
        <v>69</v>
      </c>
      <c r="Q32" s="20">
        <f>250+500+100</f>
        <v>850</v>
      </c>
    </row>
    <row r="53" spans="15:16" x14ac:dyDescent="0.2">
      <c r="O53" s="14" t="s">
        <v>76</v>
      </c>
      <c r="P53" s="18" t="s">
        <v>70</v>
      </c>
    </row>
    <row r="54" spans="15:16" x14ac:dyDescent="0.2">
      <c r="O54" s="17">
        <v>46266</v>
      </c>
      <c r="P54" s="19">
        <v>340</v>
      </c>
    </row>
    <row r="55" spans="15:16" x14ac:dyDescent="0.2">
      <c r="O55" s="17">
        <v>46267</v>
      </c>
      <c r="P55" s="19">
        <v>170</v>
      </c>
    </row>
    <row r="56" spans="15:16" x14ac:dyDescent="0.2">
      <c r="O56" s="17">
        <v>46268</v>
      </c>
      <c r="P56" s="19">
        <v>580</v>
      </c>
    </row>
    <row r="57" spans="15:16" x14ac:dyDescent="0.2">
      <c r="O57" s="17">
        <v>46269</v>
      </c>
      <c r="P57" s="19">
        <v>300</v>
      </c>
    </row>
    <row r="58" spans="15:16" x14ac:dyDescent="0.2">
      <c r="O58" s="17">
        <v>46270</v>
      </c>
      <c r="P58" s="19">
        <v>40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 </vt:lpstr>
      <vt:lpstr>Monthly_Budget</vt:lpstr>
      <vt:lpstr>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TharunTeja Errampalli</dc:creator>
  <dcterms:created xsi:type="dcterms:W3CDTF">2026-09-05T17:27:26Z</dcterms:created>
</cp:coreProperties>
</file>